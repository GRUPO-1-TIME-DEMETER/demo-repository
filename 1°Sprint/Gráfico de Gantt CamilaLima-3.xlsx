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2425F7CC-EFBD-3946-88FF-120DAA499567}" xr6:coauthVersionLast="47" xr6:coauthVersionMax="47" xr10:uidLastSave="{00000000-0000-0000-0000-000000000000}"/>
  <bookViews>
    <workbookView xWindow="0" yWindow="0" windowWidth="28800" windowHeight="12105" xr2:uid="{83E43DC8-C7A0-4A4D-AAF4-DA46DABAE971}"/>
  </bookViews>
  <sheets>
    <sheet name="Controlador de projetos" sheetId="4" r:id="rId1"/>
    <sheet name="Gráfico de Gantt" sheetId="5" r:id="rId2"/>
    <sheet name="Dados do gráf. dinâmico oculta" sheetId="2" state="hidden" r:id="rId3"/>
  </sheets>
  <definedNames>
    <definedName name="Data_Final">'Controlador de projetos'!$D$3</definedName>
    <definedName name="Data_Inicial">'Controlador de projetos'!$D$2</definedName>
    <definedName name="Duração">Marcos[Duração da tarefa]</definedName>
    <definedName name="IncrementoDeRolagem">Marcos[Marco/Atividade]</definedName>
    <definedName name="IniciarNoDia">Marcos[Iniciar no dia]</definedName>
    <definedName name="Marco">Marcos[Responsável]</definedName>
    <definedName name="TabeladeDataInicial">Marcos[Data de início]</definedName>
    <definedName name="_xlnm.Print_Titles" localSheetId="0">'Controlador de projetos'!$5:$5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4" l="1"/>
  <c r="F31" i="4"/>
  <c r="G31" i="4"/>
  <c r="E30" i="4"/>
  <c r="F30" i="4"/>
  <c r="G30" i="4"/>
  <c r="F29" i="4"/>
  <c r="G29" i="4"/>
  <c r="F18" i="4"/>
  <c r="G18" i="4"/>
  <c r="F19" i="4"/>
  <c r="G19" i="4"/>
  <c r="F20" i="4"/>
  <c r="G20" i="4"/>
  <c r="F28" i="4"/>
  <c r="G28" i="4"/>
  <c r="F27" i="4"/>
  <c r="G27" i="4"/>
  <c r="F23" i="4"/>
  <c r="G23" i="4"/>
  <c r="F24" i="4"/>
  <c r="G24" i="4"/>
  <c r="F25" i="4"/>
  <c r="G25" i="4"/>
  <c r="F26" i="4"/>
  <c r="G26" i="4"/>
  <c r="F21" i="4"/>
  <c r="G21" i="4"/>
  <c r="F22" i="4"/>
  <c r="G22" i="4"/>
  <c r="B6" i="2"/>
  <c r="B10" i="2"/>
  <c r="B9" i="2"/>
  <c r="B8" i="2"/>
  <c r="F8" i="4"/>
  <c r="G8" i="4"/>
  <c r="F6" i="4"/>
  <c r="F13" i="4"/>
  <c r="G13" i="4"/>
  <c r="F9" i="4"/>
  <c r="B7" i="2"/>
  <c r="G9" i="4"/>
  <c r="F14" i="4"/>
  <c r="G14" i="4"/>
  <c r="F10" i="4"/>
  <c r="G10" i="4"/>
  <c r="G6" i="4"/>
  <c r="F11" i="4"/>
  <c r="G11" i="4"/>
  <c r="F7" i="4"/>
  <c r="G7" i="4"/>
  <c r="F12" i="4"/>
  <c r="G12" i="4"/>
  <c r="F15" i="4"/>
  <c r="G15" i="4"/>
  <c r="F16" i="4"/>
  <c r="G16" i="4"/>
  <c r="C6" i="2"/>
  <c r="C10" i="2"/>
  <c r="C7" i="2"/>
  <c r="C9" i="2"/>
  <c r="C8" i="2"/>
  <c r="F17" i="4"/>
  <c r="D10" i="2"/>
  <c r="D6" i="2"/>
  <c r="D9" i="2"/>
  <c r="D8" i="2"/>
  <c r="D7" i="2"/>
  <c r="G17" i="4"/>
  <c r="E10" i="2"/>
  <c r="E6" i="2"/>
  <c r="E9" i="2"/>
  <c r="E8" i="2"/>
  <c r="E7" i="2"/>
</calcChain>
</file>

<file path=xl/sharedStrings.xml><?xml version="1.0" encoding="utf-8"?>
<sst xmlns="http://schemas.openxmlformats.org/spreadsheetml/2006/main" count="90" uniqueCount="66">
  <si>
    <t>Crie um Controlador de projetos nesta planilha.
O título desta planilha está na célula B1. 
As informações sobre como usar esta planilha, incluindo instruções para leitores de tela, estão na planilha Sobre.</t>
  </si>
  <si>
    <t>A Data de início pode ser inserida manualmente na célula D2 ou você pode usar a fórmula de exemplo do modelo para encontrar a menor data na coluna de marcos na tabela correspondente abaixo.</t>
  </si>
  <si>
    <t>A Data de término pode ser inserida manualmente na célula D3 ou você pode usar a fórmula de exemplo do modelo para encontrar a menor data na coluna de marcos na tabela correspondente abaixo.</t>
  </si>
  <si>
    <t>Os cabeçalhos da tabela estão nas células B5 a G5. 
Há duas colunas ocultas: as colunas Iniciar no dia e Duração da tarefa nas células F5 e G5 são calculadas automaticamente e usadas para criar o Gráfico de Gantt na planilha correspondente. 
Os dados de amostra estão nas células B6 a E21. 
A próxima instrução está na célula A22.</t>
  </si>
  <si>
    <t>Data de início:</t>
  </si>
  <si>
    <t>Data de término:</t>
  </si>
  <si>
    <t>Data de início</t>
  </si>
  <si>
    <t>Data de término</t>
  </si>
  <si>
    <t>Marco/Atividade</t>
  </si>
  <si>
    <t>Iniciar no dia</t>
  </si>
  <si>
    <t>Duração da tarefa</t>
  </si>
  <si>
    <t>O título desta planilha está na célula B1.</t>
  </si>
  <si>
    <t>O cabeçalho de incremento de rolagem horizontal está na célula B2.
Para incrementar manualmente os dados, insira um novo valor na célula B3.
A página de rolagem atualiza automaticamente quando a barra de rolagem avança ou retorna na planilha Gráfico de Gantt.</t>
  </si>
  <si>
    <t>O valor de rolagem do Gráfico de Gantt é atualizado automaticamente na célula B3.</t>
  </si>
  <si>
    <t>O título da tabela está na célula B4.</t>
  </si>
  <si>
    <t>Os cabeçalhos da tabela estão nas células B5 a E5. 
Há uma anotação na célula F5.
Esta tabela cria gráficos com até cinco marcos por vez. 
Não altere ou exclua essa planilha ou seu conteúdo.</t>
  </si>
  <si>
    <t>Dados do gráf. dinâmico</t>
  </si>
  <si>
    <t>incremento de rolagem horizontal</t>
  </si>
  <si>
    <t>Tabela de dados dinâmicos</t>
  </si>
  <si>
    <t>marco</t>
  </si>
  <si>
    <t>data</t>
  </si>
  <si>
    <t>duração</t>
  </si>
  <si>
    <t>&lt;--criar gráfico com até cinco marcos por vez</t>
  </si>
  <si>
    <t>Há um Gráfico de Gantt com uma barra de rolagem nesta planilha. 
A barra de rolagem começa na célula B29.
Esta é a última instrução nesta planilha.</t>
  </si>
  <si>
    <t>Backlog</t>
  </si>
  <si>
    <t>Rascunho do Dashboard</t>
  </si>
  <si>
    <t>Dashboard interativo- power BI (início das análises)</t>
  </si>
  <si>
    <t>Fluxograma do processo do projeto</t>
  </si>
  <si>
    <t>5W2H</t>
  </si>
  <si>
    <t>-</t>
  </si>
  <si>
    <t>Responsável</t>
  </si>
  <si>
    <t>Manu e Camila</t>
  </si>
  <si>
    <t>Felipe</t>
  </si>
  <si>
    <t>Kauane</t>
  </si>
  <si>
    <t>Dashboard analítico interativo- Power BI/ análise completa dos dados</t>
  </si>
  <si>
    <t>Cronograma de Gantt- Projeto integrador</t>
  </si>
  <si>
    <t>Relatório do projeto (rascunho)</t>
  </si>
  <si>
    <t xml:space="preserve"> Análise completa dos dados</t>
  </si>
  <si>
    <t xml:space="preserve">Pesquisas sobre a cadeia produtiva alimentícia </t>
  </si>
  <si>
    <t>Anna Caroline, Clayton</t>
  </si>
  <si>
    <t xml:space="preserve"> Camila e Anna Caroline</t>
  </si>
  <si>
    <t>Clayton e Carol</t>
  </si>
  <si>
    <t>Sprint 2</t>
  </si>
  <si>
    <t>Extrair dados do Comex Stat/ Phyton</t>
  </si>
  <si>
    <t>Baixar planilhas do site</t>
  </si>
  <si>
    <t>Estimativa de data</t>
  </si>
  <si>
    <t>Decodificar no Sublimetext</t>
  </si>
  <si>
    <t>Filtro dos dados com Phyton</t>
  </si>
  <si>
    <t>Relatório</t>
  </si>
  <si>
    <t>Criar primeira versão do portal online (estrutura básica de navegação)</t>
  </si>
  <si>
    <t>Criar critério de analise dos dados (Escolher o que analizar e como)</t>
  </si>
  <si>
    <t>Apuração dos dados gerados (oque aconteceu e o por quê)</t>
  </si>
  <si>
    <t>Desenvolver dashboards analíticos com dados consolidados</t>
  </si>
  <si>
    <t>Criar relatórios técnicos finais com análises aprofundadas</t>
  </si>
  <si>
    <t>Testar usabilidade e corrigir bugs no portal</t>
  </si>
  <si>
    <t>Publicar o portal online com os resultados obtidos</t>
  </si>
  <si>
    <t>Preparar apresentação final para comunidade acadêmica</t>
  </si>
  <si>
    <t>Manu</t>
  </si>
  <si>
    <t>Ana Caroline e Camila</t>
  </si>
  <si>
    <t>Camila</t>
  </si>
  <si>
    <t>Time</t>
  </si>
  <si>
    <t>Criar analises para as telas</t>
  </si>
  <si>
    <t>Criar página de exportação</t>
  </si>
  <si>
    <t>Criar página da importação</t>
  </si>
  <si>
    <t>Sprint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</si>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</sst>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R$&quot;\ * #,##0_-;\-&quot;R$&quot;\ * #,##0_-;_-&quot;R$&quot;\ * &quot;-&quot;_-;_-@_-"/>
    <numFmt numFmtId="165" formatCode="_-&quot;R$&quot;\ * #,##0.00_-;\-&quot;R$&quot;\ * #,##0.00_-;_-&quot;R$&quot;\ * &quot;-&quot;??_-;_-@_-"/>
    <numFmt numFmtId="166" formatCode="_(* #,##0_);_(* \(#,##0\);_(* &quot;-&quot;_);_(@_)"/>
    <numFmt numFmtId="167" formatCode="#,##0_ ;\-#,##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4659260841701"/>
      <name val="Calibri"/>
      <family val="2"/>
      <scheme val="minor"/>
    </font>
    <font>
      <b/>
      <sz val="12"/>
      <color theme="4" tint="-0.2499465926084170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sz val="11"/>
      <color theme="4" tint="-0.24994659260841701"/>
      <name val="Calibri"/>
      <family val="2"/>
      <scheme val="minor"/>
    </font>
    <font>
      <sz val="18"/>
      <color theme="3"/>
      <name val="Calibri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5" tint="-0.24994659260841701"/>
      </bottom>
      <diagonal/>
    </border>
    <border>
      <left style="double">
        <color theme="0"/>
      </left>
      <right/>
      <top/>
      <bottom/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/>
      <top/>
      <bottom/>
      <diagonal/>
    </border>
    <border>
      <left/>
      <right style="medium">
        <color theme="5" tint="-0.249977111117893"/>
      </right>
      <top/>
      <bottom/>
      <diagonal/>
    </border>
    <border>
      <left/>
      <right/>
      <top/>
      <bottom style="medium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8">
    <xf numFmtId="0" fontId="0" fillId="0" borderId="0"/>
    <xf numFmtId="0" fontId="4" fillId="0" borderId="0" applyNumberFormat="0" applyFill="0" applyProtection="0">
      <alignment vertical="center"/>
    </xf>
    <xf numFmtId="0" fontId="5" fillId="0" borderId="0" applyNumberFormat="0" applyFill="0" applyProtection="0">
      <alignment horizontal="right" vertical="center" indent="1"/>
    </xf>
    <xf numFmtId="0" fontId="2" fillId="3" borderId="0" applyNumberFormat="0" applyProtection="0">
      <alignment horizontal="center" vertical="center"/>
    </xf>
    <xf numFmtId="14" fontId="1" fillId="0" borderId="0">
      <alignment horizontal="center" vertical="center"/>
    </xf>
    <xf numFmtId="0" fontId="6" fillId="0" borderId="0" applyNumberFormat="0" applyFill="0" applyProtection="0">
      <alignment horizontal="left" vertical="center"/>
    </xf>
    <xf numFmtId="167" fontId="1" fillId="0" borderId="0" applyFont="0" applyFill="0" applyBorder="0" applyProtection="0">
      <alignment horizontal="center"/>
    </xf>
    <xf numFmtId="0" fontId="1" fillId="2" borderId="1" applyNumberFormat="0" applyAlignment="0" applyProtection="0"/>
    <xf numFmtId="0" fontId="7" fillId="0" borderId="0" applyNumberFormat="0" applyFill="0" applyProtection="0">
      <alignment wrapText="1"/>
    </xf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9" applyNumberFormat="0" applyAlignment="0" applyProtection="0"/>
    <xf numFmtId="0" fontId="13" fillId="9" borderId="10" applyNumberFormat="0" applyAlignment="0" applyProtection="0"/>
    <xf numFmtId="0" fontId="14" fillId="9" borderId="9" applyNumberFormat="0" applyAlignment="0" applyProtection="0"/>
    <xf numFmtId="0" fontId="15" fillId="0" borderId="11" applyNumberFormat="0" applyFill="0" applyAlignment="0" applyProtection="0"/>
    <xf numFmtId="0" fontId="2" fillId="10" borderId="12" applyNumberFormat="0" applyAlignment="0" applyProtection="0"/>
    <xf numFmtId="0" fontId="16" fillId="0" borderId="0" applyNumberFormat="0" applyFill="0" applyBorder="0" applyAlignment="0" applyProtection="0"/>
    <xf numFmtId="0" fontId="1" fillId="11" borderId="13" applyNumberFormat="0" applyFont="0" applyAlignment="0" applyProtection="0"/>
    <xf numFmtId="0" fontId="17" fillId="0" borderId="14" applyNumberFormat="0" applyFill="0" applyAlignment="0" applyProtection="0"/>
    <xf numFmtId="0" fontId="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52">
    <xf numFmtId="0" fontId="0" fillId="0" borderId="0" xfId="0"/>
    <xf numFmtId="0" fontId="4" fillId="0" borderId="0" xfId="1">
      <alignment vertical="center"/>
    </xf>
    <xf numFmtId="0" fontId="5" fillId="0" borderId="0" xfId="2">
      <alignment horizontal="right" vertical="center" indent="1"/>
    </xf>
    <xf numFmtId="0" fontId="2" fillId="3" borderId="0" xfId="3">
      <alignment horizontal="center" vertical="center"/>
    </xf>
    <xf numFmtId="0" fontId="0" fillId="0" borderId="0" xfId="0" applyNumberFormat="1"/>
    <xf numFmtId="0" fontId="0" fillId="0" borderId="0" xfId="0"/>
    <xf numFmtId="14" fontId="0" fillId="0" borderId="0" xfId="0" applyNumberFormat="1" applyBorder="1"/>
    <xf numFmtId="0" fontId="0" fillId="0" borderId="0" xfId="0" applyNumberFormat="1" applyBorder="1"/>
    <xf numFmtId="0" fontId="0" fillId="0" borderId="3" xfId="0" applyBorder="1"/>
    <xf numFmtId="14" fontId="0" fillId="0" borderId="4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14" fontId="1" fillId="2" borderId="8" xfId="7" applyNumberFormat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5" fillId="0" borderId="0" xfId="2" applyBorder="1">
      <alignment horizontal="right" vertical="center" indent="1"/>
    </xf>
    <xf numFmtId="14" fontId="1" fillId="2" borderId="0" xfId="7" applyNumberFormat="1" applyBorder="1" applyAlignment="1">
      <alignment horizontal="center" vertical="center"/>
    </xf>
    <xf numFmtId="0" fontId="0" fillId="0" borderId="0" xfId="0" applyBorder="1"/>
    <xf numFmtId="0" fontId="0" fillId="0" borderId="15" xfId="0" applyFont="1" applyFill="1" applyBorder="1"/>
    <xf numFmtId="0" fontId="0" fillId="0" borderId="15" xfId="0" applyFont="1" applyFill="1" applyBorder="1" applyAlignment="1">
      <alignment horizontal="center"/>
    </xf>
    <xf numFmtId="14" fontId="1" fillId="0" borderId="15" xfId="4" applyBorder="1">
      <alignment horizontal="center" vertical="center"/>
    </xf>
    <xf numFmtId="167" fontId="0" fillId="4" borderId="15" xfId="6" applyFont="1" applyFill="1" applyBorder="1">
      <alignment horizontal="center"/>
    </xf>
    <xf numFmtId="14" fontId="0" fillId="0" borderId="15" xfId="4" applyFont="1" applyBorder="1">
      <alignment horizontal="center" vertical="center"/>
    </xf>
    <xf numFmtId="14" fontId="1" fillId="4" borderId="0" xfId="7" applyNumberFormat="1" applyFill="1" applyBorder="1" applyAlignment="1">
      <alignment horizontal="center" vertical="center"/>
    </xf>
    <xf numFmtId="14" fontId="0" fillId="0" borderId="16" xfId="4" applyFont="1" applyBorder="1">
      <alignment horizontal="center" vertical="center"/>
    </xf>
    <xf numFmtId="14" fontId="1" fillId="0" borderId="15" xfId="7" applyNumberFormat="1" applyFill="1" applyBorder="1" applyAlignment="1">
      <alignment horizontal="center" vertical="center"/>
    </xf>
    <xf numFmtId="0" fontId="0" fillId="0" borderId="16" xfId="0" applyFont="1" applyFill="1" applyBorder="1"/>
    <xf numFmtId="0" fontId="0" fillId="0" borderId="17" xfId="0" applyFont="1" applyFill="1" applyBorder="1"/>
    <xf numFmtId="167" fontId="0" fillId="4" borderId="18" xfId="6" applyFont="1" applyFill="1" applyBorder="1">
      <alignment horizontal="center"/>
    </xf>
    <xf numFmtId="14" fontId="1" fillId="0" borderId="0" xfId="7" applyNumberFormat="1" applyFill="1" applyBorder="1" applyAlignment="1">
      <alignment horizontal="center" vertical="center"/>
    </xf>
    <xf numFmtId="167" fontId="0" fillId="4" borderId="19" xfId="6" applyFont="1" applyFill="1" applyBorder="1">
      <alignment horizontal="center"/>
    </xf>
    <xf numFmtId="14" fontId="1" fillId="0" borderId="20" xfId="4" applyBorder="1">
      <alignment horizontal="center" vertical="center"/>
    </xf>
    <xf numFmtId="0" fontId="0" fillId="4" borderId="15" xfId="0" applyFill="1" applyBorder="1"/>
    <xf numFmtId="14" fontId="0" fillId="4" borderId="15" xfId="4" applyFont="1" applyFill="1" applyBorder="1">
      <alignment horizontal="center" vertical="center"/>
    </xf>
    <xf numFmtId="0" fontId="0" fillId="0" borderId="19" xfId="0" applyFont="1" applyFill="1" applyBorder="1" applyAlignment="1">
      <alignment horizontal="center"/>
    </xf>
    <xf numFmtId="14" fontId="1" fillId="0" borderId="15" xfId="4" applyFill="1" applyBorder="1">
      <alignment horizontal="center" vertical="center"/>
    </xf>
    <xf numFmtId="0" fontId="0" fillId="0" borderId="21" xfId="0" applyBorder="1"/>
    <xf numFmtId="0" fontId="0" fillId="4" borderId="18" xfId="0" applyFill="1" applyBorder="1"/>
    <xf numFmtId="0" fontId="0" fillId="0" borderId="15" xfId="0" applyBorder="1"/>
    <xf numFmtId="0" fontId="0" fillId="35" borderId="15" xfId="0" applyFont="1" applyFill="1" applyBorder="1" applyAlignment="1">
      <alignment horizontal="center"/>
    </xf>
    <xf numFmtId="167" fontId="0" fillId="35" borderId="15" xfId="6" applyFont="1" applyFill="1" applyBorder="1">
      <alignment horizontal="center"/>
    </xf>
    <xf numFmtId="167" fontId="0" fillId="35" borderId="18" xfId="6" applyFont="1" applyFill="1" applyBorder="1">
      <alignment horizontal="center"/>
    </xf>
    <xf numFmtId="14" fontId="0" fillId="0" borderId="15" xfId="0" applyNumberFormat="1" applyBorder="1"/>
    <xf numFmtId="0" fontId="0" fillId="0" borderId="15" xfId="0" quotePrefix="1" applyBorder="1"/>
    <xf numFmtId="0" fontId="0" fillId="0" borderId="23" xfId="0" applyFont="1" applyFill="1" applyBorder="1" applyAlignment="1">
      <alignment horizontal="center"/>
    </xf>
    <xf numFmtId="14" fontId="1" fillId="0" borderId="20" xfId="4" applyFill="1" applyBorder="1">
      <alignment horizontal="center" vertical="center"/>
    </xf>
    <xf numFmtId="0" fontId="0" fillId="0" borderId="20" xfId="0" applyBorder="1"/>
    <xf numFmtId="0" fontId="0" fillId="4" borderId="20" xfId="0" applyFill="1" applyBorder="1"/>
    <xf numFmtId="0" fontId="0" fillId="4" borderId="22" xfId="0" applyFill="1" applyBorder="1"/>
  </cellXfs>
  <cellStyles count="48">
    <cellStyle name="20% - Ênfase1" xfId="26" builtinId="30" customBuiltin="1"/>
    <cellStyle name="20% - Ênfase2" xfId="30" builtinId="34" customBuiltin="1"/>
    <cellStyle name="20% - Ênfase3" xfId="34" builtinId="38" customBuiltin="1"/>
    <cellStyle name="20% - Ênfase4" xfId="38" builtinId="42" customBuiltin="1"/>
    <cellStyle name="20% - Ênfase5" xfId="7" builtinId="46" customBuiltin="1"/>
    <cellStyle name="20% - Ênfase6" xfId="45" builtinId="50" customBuiltin="1"/>
    <cellStyle name="40% - Ênfase1" xfId="27" builtinId="31" customBuiltin="1"/>
    <cellStyle name="40% - Ênfase2" xfId="31" builtinId="35" customBuiltin="1"/>
    <cellStyle name="40% - Ênfase3" xfId="35" builtinId="39" customBuiltin="1"/>
    <cellStyle name="40% - Ênfase4" xfId="39" builtinId="43" customBuiltin="1"/>
    <cellStyle name="40% - Ênfase5" xfId="42" builtinId="47" customBuiltin="1"/>
    <cellStyle name="40% - Ênfase6" xfId="46" builtinId="51" customBuiltin="1"/>
    <cellStyle name="60% - Ênfase1" xfId="28" builtinId="32" customBuiltin="1"/>
    <cellStyle name="60% - Ênfase2" xfId="32" builtinId="36" customBuiltin="1"/>
    <cellStyle name="60% - Ênfase3" xfId="36" builtinId="40" customBuiltin="1"/>
    <cellStyle name="60% - Ênfase4" xfId="40" builtinId="44" customBuiltin="1"/>
    <cellStyle name="60% - Ênfase5" xfId="43" builtinId="48" customBuiltin="1"/>
    <cellStyle name="60% - Ênfase6" xfId="47" builtinId="52" customBuiltin="1"/>
    <cellStyle name="Bom" xfId="14" builtinId="26" customBuiltin="1"/>
    <cellStyle name="Cálculo" xfId="19" builtinId="22" customBuiltin="1"/>
    <cellStyle name="Célula de Verificação" xfId="21" builtinId="23" customBuiltin="1"/>
    <cellStyle name="Célula Vinculada" xfId="20" builtinId="24" customBuiltin="1"/>
    <cellStyle name="Data" xfId="4" xr:uid="{A5654282-6065-4D12-BA7A-82AAEC707206}"/>
    <cellStyle name="Ênfase1" xfId="25" builtinId="29" customBuiltin="1"/>
    <cellStyle name="Ênfase2" xfId="29" builtinId="33" customBuiltin="1"/>
    <cellStyle name="Ênfase3" xfId="33" builtinId="37" customBuiltin="1"/>
    <cellStyle name="Ênfase4" xfId="37" builtinId="41" customBuiltin="1"/>
    <cellStyle name="Ênfase5" xfId="41" builtinId="45" customBuiltin="1"/>
    <cellStyle name="Ênfase6" xfId="44" builtinId="49" customBuiltin="1"/>
    <cellStyle name="Entrada" xfId="17" builtinId="20" customBuiltin="1"/>
    <cellStyle name="Moeda" xfId="10" builtinId="4" customBuiltin="1"/>
    <cellStyle name="Moeda [0]" xfId="11" builtinId="7" customBuiltin="1"/>
    <cellStyle name="Neutro" xfId="16" builtinId="28" customBuiltin="1"/>
    <cellStyle name="Normal" xfId="0" builtinId="0" customBuiltin="1"/>
    <cellStyle name="Nota" xfId="23" builtinId="10" customBuiltin="1"/>
    <cellStyle name="Porcentagem" xfId="12" builtinId="5" customBuiltin="1"/>
    <cellStyle name="Ruim" xfId="15" builtinId="27" customBuiltin="1"/>
    <cellStyle name="Saída" xfId="18" builtinId="21" customBuiltin="1"/>
    <cellStyle name="Separador de milhares [0]" xfId="9" builtinId="6" customBuiltin="1"/>
    <cellStyle name="Texto de Aviso" xfId="22" builtinId="11" customBuiltin="1"/>
    <cellStyle name="Texto Explicativo" xfId="8" builtinId="53" customBuiltin="1"/>
    <cellStyle name="Título" xfId="13" builtinId="15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5" builtinId="19" customBuiltin="1"/>
    <cellStyle name="Total" xfId="24" builtinId="25" customBuiltin="1"/>
    <cellStyle name="Vírgula" xfId="6" builtinId="3" customBuiltin="1"/>
  </cellStyles>
  <dxfs count="17">
    <dxf>
      <numFmt numFmtId="0" formatCode="General"/>
      <border diagonalUp="0" diagonalDown="0">
        <left/>
        <right style="medium">
          <color theme="5" tint="-0.249977111117893"/>
        </right>
        <top/>
        <bottom/>
      </border>
    </dxf>
    <dxf>
      <numFmt numFmtId="0" formatCode="General"/>
    </dxf>
    <dxf>
      <numFmt numFmtId="168" formatCode="m/d/yyyy"/>
    </dxf>
    <dxf>
      <numFmt numFmtId="0" formatCode="General"/>
      <border diagonalUp="0" diagonalDown="0">
        <left style="medium">
          <color theme="5" tint="-0.249977111117893"/>
        </left>
        <right/>
        <top/>
        <bottom/>
        <vertical/>
        <horizontal/>
      </border>
    </dxf>
    <dxf>
      <border outline="0">
        <bottom style="medium">
          <color theme="5" tint="-0.249977111117893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5117038483843"/>
          <bgColor theme="4" tint="0.79998168889431442"/>
        </patternFill>
      </fill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bottom style="thin">
          <color theme="4" tint="0.39994506668294322"/>
        </bottom>
        <horizontal/>
      </border>
    </dxf>
  </dxfs>
  <tableStyles count="1" defaultTableStyle="Gantt Chart table style" defaultPivotStyle="PivotStyleLight16">
    <tableStyle name="Gantt Chart table style" pivot="0" count="3" xr9:uid="{D7A9D309-76D4-47FD-AAFA-79E72526BC00}">
      <tableStyleElement type="wholeTable" dxfId="16"/>
      <tableStyleElement type="headerRow" dxfId="15"/>
      <tableStyleElement type="first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'Dados do gráf. dinâmico oculta'!$C$5</c:f>
              <c:strCache>
                <c:ptCount val="1"/>
                <c:pt idx="0">
                  <c:v>data</c:v>
                </c:pt>
              </c:strCache>
            </c:strRef>
          </c:tx>
          <c:spPr>
            <a:noFill/>
            <a:ln>
              <a:noFill/>
            </a:ln>
            <a:effectLst/>
            <a:sp3d/>
          </c:spPr>
          <c:invertIfNegative val="0"/>
          <c:cat>
            <c:strRef>
              <c:f>'Dados do gráf. dinâmico oculta'!$B$6:$B$10</c:f>
              <c:strCache>
                <c:ptCount val="5"/>
              </c:strCache>
            </c:strRef>
          </c:cat>
          <c:val>
            <c:numRef>
              <c:f>'Dados do gráf. dinâmico oculta'!$C$6:$C$10</c:f>
              <c:numCache>
                <c:formatCode>m/d/yyyy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6-4237-8C26-8D976BA022B1}"/>
            </c:ext>
          </c:extLst>
        </c:ser>
        <c:ser>
          <c:idx val="1"/>
          <c:order val="1"/>
          <c:tx>
            <c:strRef>
              <c:f>'Dados do gráf. dinâmico oculta'!$E$5</c:f>
              <c:strCache>
                <c:ptCount val="1"/>
                <c:pt idx="0">
                  <c:v>duração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7D59EC9-AFCD-4C88-B116-30618782396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066-4237-8C26-8D976BA022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F1EC8E-5791-4D91-A6B7-EF8D2627004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066-4237-8C26-8D976BA022B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42DE513-F1BE-4D60-9325-C15BA6A774B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066-4237-8C26-8D976BA022B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D7F160C-C82E-446C-927D-F99BB2989F1E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066-4237-8C26-8D976BA022B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F11784C-612E-4DE0-B428-BA8A5499FFB3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066-4237-8C26-8D976BA022B1}"/>
                </c:ext>
              </c:extLst>
            </c:dLbl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'Dados do gráf. dinâmico oculta'!$B$6:$B$10</c:f>
              <c:strCache>
                <c:ptCount val="5"/>
              </c:strCache>
            </c:strRef>
          </c:cat>
          <c:val>
            <c:numRef>
              <c:f>'Dados do gráf. dinâmico oculta'!$E$6:$E$10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'Dados do gráf. dinâmico oculta'!$B$6:$B$10</c15:f>
                <c15:dlblRangeCache>
                  <c:ptCount val="5"/>
                </c15:dlblRangeCache>
              </c15:datalabelsRange>
            </c:ext>
            <c:ext xmlns:c16="http://schemas.microsoft.com/office/drawing/2014/chart" uri="{C3380CC4-5D6E-409C-BE32-E72D297353CC}">
              <c16:uniqueId val="{00000006-5066-4237-8C26-8D976BA02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6877856"/>
        <c:axId val="746878512"/>
        <c:axId val="0"/>
      </c:bar3DChart>
      <c:catAx>
        <c:axId val="7468778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878512"/>
        <c:crosses val="autoZero"/>
        <c:auto val="1"/>
        <c:lblAlgn val="ctr"/>
        <c:lblOffset val="100"/>
        <c:noMultiLvlLbl val="0"/>
      </c:catAx>
      <c:valAx>
        <c:axId val="746878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6]mmm\-yy;@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87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'Dados do gráf. dinâmico oculta'!$B$3" horiz="1" max="100" page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180974</xdr:rowOff>
    </xdr:from>
    <xdr:to>
      <xdr:col>13</xdr:col>
      <xdr:colOff>452437</xdr:colOff>
      <xdr:row>28</xdr:row>
      <xdr:rowOff>23813</xdr:rowOff>
    </xdr:to>
    <xdr:graphicFrame macro="">
      <xdr:nvGraphicFramePr>
        <xdr:cNvPr id="2" name="Gráfico de Gantt" descr="Gantt Chart with a date timelin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171450</xdr:colOff>
          <xdr:row>28</xdr:row>
          <xdr:rowOff>28575</xdr:rowOff>
        </xdr:from>
        <xdr:to>
          <xdr:col>13</xdr:col>
          <xdr:colOff>438150</xdr:colOff>
          <xdr:row>29</xdr:row>
          <xdr:rowOff>76200</xdr:rowOff>
        </xdr:to>
        <xdr:sp macro="" textlink="">
          <xdr:nvSpPr>
            <xdr:cNvPr id="4098" name="Barra de Rolagem 2" descr="Scrollbar to increment Gantt Chart and scroll through the timeline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1F6C39-7593-48A4-A1D2-A0D26E951BF8}" name="Marcos" displayName="Marcos" ref="B5:I31" totalsRowShown="0" headerRowDxfId="13">
  <autoFilter ref="B5:I31" xr:uid="{951635E4-FCFF-47B1-A6C6-5C24ECDE9A5A}"/>
  <sortState xmlns:xlrd2="http://schemas.microsoft.com/office/spreadsheetml/2017/richdata2" ref="B6:G19">
    <sortCondition ref="C6:C19"/>
    <sortCondition ref="D6:D19"/>
  </sortState>
  <tableColumns count="8">
    <tableColumn id="12" xr3:uid="{417148D6-7A28-40C6-80F2-B6C648F24A03}" name="Marco/Atividade" dataDxfId="12"/>
    <tableColumn id="2" xr3:uid="{0B09DBBE-2FBF-46E2-8C69-E2CFCC08C5F9}" name="Data de início" dataDxfId="11" dataCellStyle="Data"/>
    <tableColumn id="3" xr3:uid="{5169FF04-1487-4814-B98C-C577FE120139}" name="Data de término" dataDxfId="10" dataCellStyle="Data"/>
    <tableColumn id="10" xr3:uid="{DBA6C66F-3413-4788-966C-44D320586126}" name="Responsável" dataDxfId="9">
      <calculatedColumnFormula>"Atividade"&amp;" "&amp;ROW($A1)</calculatedColumnFormula>
    </tableColumn>
    <tableColumn id="11" xr3:uid="{31798575-BD57-466D-AC99-9EF7707B63C7}" name="Iniciar no dia" dataDxfId="8">
      <calculatedColumnFormula>IFERROR(IF(OR(LEN(Marcos[[#This Row],[Data de início]])=0,LEN(Marcos[[#This Row],[Data de término]])=0),"",INT(C6)-INT($C$6)),"")</calculatedColumnFormula>
    </tableColumn>
    <tableColumn id="8" xr3:uid="{A36515AD-389B-4321-BB8D-89BAC7740995}" name="Duração da tarefa" dataDxfId="7">
      <calculatedColumnFormula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calculatedColumnFormula>
    </tableColumn>
    <tableColumn id="1" xr3:uid="{71AC62ED-A63A-4572-B2A0-FC507490287B}" name="Estimativa de data" dataDxfId="6"/>
    <tableColumn id="4" xr3:uid="{8C4C613F-F433-471D-AFE8-913B5C1E4623}" name="Sprint" dataDxfId="5"/>
  </tableColumns>
  <tableStyleInfo name="Gantt Chart table style" showFirstColumn="1" showLastColumn="0" showRowStripes="1" showColumnStripes="0"/>
  <extLst>
    <ext xmlns:x14="http://schemas.microsoft.com/office/spreadsheetml/2009/9/main" uri="{504A1905-F514-4f6f-8877-14C23A59335A}">
      <x14:table altTextSummary="Enter milestone task and activities in this table. Enter the start date, end date and milestone/activity. Position , Start on Day and Task Duration are used for charting. Do not delete or modify these columns or the charting will no longer work. 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238B8-7B36-4150-AB60-309683693954}" name="DadosDinâmicos" displayName="DadosDinâmicos" ref="B5:E10" totalsRowShown="0" tableBorderDxfId="4">
  <autoFilter ref="B5:E10" xr:uid="{1E53AE3B-B95A-4BA4-940B-6E408D35B4AD}">
    <filterColumn colId="0" hiddenButton="1"/>
    <filterColumn colId="1" hiddenButton="1"/>
    <filterColumn colId="2" hiddenButton="1"/>
    <filterColumn colId="3" hiddenButton="1"/>
  </autoFilter>
  <tableColumns count="4">
    <tableColumn id="1" xr3:uid="{D75F8E51-B33E-49A6-911D-57AEC59F5557}" name="marco" dataDxfId="3">
      <calculatedColumnFormula>IFERROR(IF(LEN(OFFSET('Controlador de projetos'!$E6,$B$3,0,1,1))=0,"",INDEX(Marcos[],'Controlador de projetos'!$B6+$B$3,4)),"")</calculatedColumnFormula>
    </tableColumn>
    <tableColumn id="2" xr3:uid="{24BD43CB-1C65-4F2C-BE9D-D5C601681B07}" name="data" dataDxfId="2">
      <calculatedColumnFormula>IFERROR(IF(LEN(OFFSET('Controlador de projetos'!$C6,$B$3,0,1,1))=0,End_Date,INDEX(Marcos[],'Controlador de projetos'!$B6+$B$3,2)),"")</calculatedColumnFormula>
    </tableColumn>
    <tableColumn id="3" xr3:uid="{1391FB0D-B504-4322-B211-D2B787F64A2D}" name="Iniciar no dia" dataDxfId="1">
      <calculatedColumnFormula>IFERROR(IF(LEN(OFFSET('Controlador de projetos'!$F6,$B$3,0,1,1))=0,"",INDEX(Marcos[],'Controlador de projetos'!$B6+$B$3,5)),"")</calculatedColumnFormula>
    </tableColumn>
    <tableColumn id="4" xr3:uid="{21D31F93-1DE3-4841-8614-466E50A648E8}" name="duração" dataDxfId="0">
      <calculatedColumnFormula>IFERROR(IF(LEN(OFFSET('Controlador de projetos'!$G6,$B$3,0,1,1))=0,"",INDEX(Marcos[],'Controlador de projetos'!$B6+$B$3,6)),"")</calculatedColumnFormula>
    </tableColumn>
  </tableColumns>
  <tableStyleInfo name="TableStyleLight1" showFirstColumn="1" showLastColumn="0" showRowStripes="1" showColumnStripes="0"/>
  <extLst>
    <ext xmlns:x14="http://schemas.microsoft.com/office/spreadsheetml/2009/9/main" uri="{504A1905-F514-4f6f-8877-14C23A59335A}">
      <x14:table altTextSummary="Chart up to 5 milestones at a time from this table._x000d__x000a_Do NOT delete or modify cells in this table or the charting mechanism will break. "/>
    </ext>
  </extLst>
</table>
</file>

<file path=xl/theme/theme1.xml><?xml version="1.0" encoding="utf-8"?>
<a:theme xmlns:a="http://schemas.openxmlformats.org/drawingml/2006/main" name="Attitud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180AE"/>
      </a:accent1>
      <a:accent2>
        <a:srgbClr val="6C5B97"/>
      </a:accent2>
      <a:accent3>
        <a:srgbClr val="FCB239"/>
      </a:accent3>
      <a:accent4>
        <a:srgbClr val="D74061"/>
      </a:accent4>
      <a:accent5>
        <a:srgbClr val="F37A29"/>
      </a:accent5>
      <a:accent6>
        <a:srgbClr val="469802"/>
      </a:accent6>
      <a:hlink>
        <a:srgbClr val="D2B356"/>
      </a:hlink>
      <a:folHlink>
        <a:srgbClr val="C59169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Relationship Id="rId4" Type="http://schemas.openxmlformats.org/officeDocument/2006/relationships/ctrlProp" Target="../ctrlProps/ctrlProp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183C-14AC-4614-B363-EEC9DB69300C}">
  <sheetPr>
    <pageSetUpPr fitToPage="1"/>
  </sheetPr>
  <dimension ref="A1:J31"/>
  <sheetViews>
    <sheetView showGridLines="0" tabSelected="1" zoomScaleNormal="100" workbookViewId="0">
      <selection activeCell="C36" sqref="C36"/>
    </sheetView>
  </sheetViews>
  <sheetFormatPr defaultRowHeight="15" x14ac:dyDescent="0.2"/>
  <cols>
    <col min="1" max="1" width="2.6875" style="15" customWidth="1"/>
    <col min="2" max="2" width="66.5859375" customWidth="1"/>
    <col min="3" max="3" width="20.17578125" customWidth="1"/>
    <col min="4" max="4" width="18.6953125" customWidth="1"/>
    <col min="5" max="5" width="25.69140625" customWidth="1"/>
    <col min="6" max="6" width="18.16015625" hidden="1" customWidth="1"/>
    <col min="7" max="7" width="18.83203125" hidden="1" customWidth="1"/>
    <col min="8" max="8" width="19.7734375" bestFit="1" customWidth="1"/>
    <col min="9" max="9" width="13.44921875" customWidth="1"/>
  </cols>
  <sheetData>
    <row r="1" spans="1:10" ht="50.1" customHeight="1" x14ac:dyDescent="0.2">
      <c r="A1" s="17" t="s">
        <v>0</v>
      </c>
      <c r="B1" s="1" t="s">
        <v>35</v>
      </c>
    </row>
    <row r="2" spans="1:10" ht="30" customHeight="1" thickBot="1" x14ac:dyDescent="0.25">
      <c r="A2" s="15" t="s">
        <v>1</v>
      </c>
      <c r="C2" s="2" t="s">
        <v>4</v>
      </c>
      <c r="D2" s="14">
        <v>45195</v>
      </c>
    </row>
    <row r="3" spans="1:10" ht="30" customHeight="1" x14ac:dyDescent="0.2">
      <c r="A3" s="15" t="s">
        <v>2</v>
      </c>
      <c r="C3" s="18" t="s">
        <v>5</v>
      </c>
      <c r="D3" s="19"/>
      <c r="E3" s="20"/>
    </row>
    <row r="4" spans="1:10" s="5" customFormat="1" ht="30" customHeight="1" x14ac:dyDescent="0.2">
      <c r="A4" s="15"/>
      <c r="C4" s="18"/>
      <c r="D4" s="32"/>
      <c r="E4" s="20"/>
    </row>
    <row r="5" spans="1:10" ht="15" customHeight="1" x14ac:dyDescent="0.2">
      <c r="A5" s="16" t="s">
        <v>3</v>
      </c>
      <c r="B5" s="29" t="s">
        <v>8</v>
      </c>
      <c r="C5" s="29" t="s">
        <v>6</v>
      </c>
      <c r="D5" s="29" t="s">
        <v>7</v>
      </c>
      <c r="E5" s="29" t="s">
        <v>30</v>
      </c>
      <c r="F5" s="29" t="s">
        <v>9</v>
      </c>
      <c r="G5" s="30" t="s">
        <v>10</v>
      </c>
      <c r="H5" s="39" t="s">
        <v>45</v>
      </c>
      <c r="I5" s="39" t="s">
        <v>64</v>
      </c>
      <c r="J5" s="20"/>
    </row>
    <row r="6" spans="1:10" x14ac:dyDescent="0.2">
      <c r="B6" s="22" t="s">
        <v>24</v>
      </c>
      <c r="C6" s="26">
        <v>45926</v>
      </c>
      <c r="D6" s="23"/>
      <c r="E6" s="21" t="s">
        <v>31</v>
      </c>
      <c r="F6" s="24" t="str">
        <f>IFERROR(IF(OR(LEN(Marcos[[#This Row],[Data de início]])=0,LEN(Marcos[[#This Row],[Data de término]])=0),"",INT(C6)-INT($C$6)),"")</f>
        <v/>
      </c>
      <c r="G6" s="3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6" s="41"/>
      <c r="I6" s="46" t="s">
        <v>65</v>
      </c>
      <c r="J6" s="20"/>
    </row>
    <row r="7" spans="1:10" x14ac:dyDescent="0.2">
      <c r="B7" s="22" t="s">
        <v>25</v>
      </c>
      <c r="C7" s="28">
        <v>45926</v>
      </c>
      <c r="D7" s="25" t="s">
        <v>29</v>
      </c>
      <c r="E7" s="21" t="s">
        <v>32</v>
      </c>
      <c r="F7" s="24">
        <f>IFERROR(IF(OR(LEN(Marcos[[#This Row],[Data de início]])=0,LEN(Marcos[[#This Row],[Data de término]])=0),"",INT(C7)-INT($C$6)),"")</f>
        <v>0</v>
      </c>
      <c r="G7" s="31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>0</v>
      </c>
      <c r="H7" s="41"/>
      <c r="I7" s="41"/>
      <c r="J7" s="20"/>
    </row>
    <row r="8" spans="1:10" x14ac:dyDescent="0.2">
      <c r="B8" s="22" t="s">
        <v>26</v>
      </c>
      <c r="C8" s="27" t="s">
        <v>29</v>
      </c>
      <c r="D8" s="36" t="s">
        <v>29</v>
      </c>
      <c r="E8" s="21" t="s">
        <v>32</v>
      </c>
      <c r="F8" s="24" t="str">
        <f>IFERROR(IF(OR(LEN(Marcos[[#This Row],[Data de início]])=0,LEN(Marcos[[#This Row],[Data de término]])=0),"",INT(C8)-INT($C$6)),"")</f>
        <v/>
      </c>
      <c r="G8" s="3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8" s="41"/>
      <c r="I8" s="41"/>
      <c r="J8" s="20"/>
    </row>
    <row r="9" spans="1:10" x14ac:dyDescent="0.2">
      <c r="B9" s="22" t="s">
        <v>36</v>
      </c>
      <c r="C9" s="25">
        <v>45928</v>
      </c>
      <c r="D9" s="25" t="s">
        <v>29</v>
      </c>
      <c r="E9" s="21" t="s">
        <v>40</v>
      </c>
      <c r="F9" s="24">
        <f>IFERROR(IF(OR(LEN(Marcos[[#This Row],[Data de início]])=0,LEN(Marcos[[#This Row],[Data de término]])=0),"",INT(C9)-INT($C$6)),"")</f>
        <v>2</v>
      </c>
      <c r="G9" s="31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>0</v>
      </c>
      <c r="H9" s="41"/>
      <c r="I9" s="41"/>
      <c r="J9" s="20"/>
    </row>
    <row r="10" spans="1:10" x14ac:dyDescent="0.2">
      <c r="B10" s="22" t="s">
        <v>27</v>
      </c>
      <c r="C10" s="25">
        <v>45930</v>
      </c>
      <c r="D10" s="25">
        <v>45932</v>
      </c>
      <c r="E10" s="21" t="s">
        <v>41</v>
      </c>
      <c r="F10" s="24">
        <f>IFERROR(IF(OR(LEN(Marcos[[#This Row],[Data de início]])=0,LEN(Marcos[[#This Row],[Data de término]])=0),"",INT(C10)-INT($C$6)),"")</f>
        <v>4</v>
      </c>
      <c r="G10" s="31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>3</v>
      </c>
      <c r="H10" s="41"/>
      <c r="I10" s="41"/>
      <c r="J10" s="20"/>
    </row>
    <row r="11" spans="1:10" x14ac:dyDescent="0.2">
      <c r="B11" s="22" t="s">
        <v>28</v>
      </c>
      <c r="C11" s="23">
        <v>45927</v>
      </c>
      <c r="D11" s="25" t="s">
        <v>29</v>
      </c>
      <c r="E11" s="21" t="s">
        <v>33</v>
      </c>
      <c r="F11" s="24">
        <f>IFERROR(IF(OR(LEN(Marcos[[#This Row],[Data de início]])=0,LEN(Marcos[[#This Row],[Data de término]])=0),"",INT(C11)-INT($C$6)),"")</f>
        <v>1</v>
      </c>
      <c r="G11" s="31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>0</v>
      </c>
      <c r="H11" s="41"/>
      <c r="I11" s="41"/>
      <c r="J11" s="20"/>
    </row>
    <row r="12" spans="1:10" x14ac:dyDescent="0.2">
      <c r="B12" s="22" t="s">
        <v>38</v>
      </c>
      <c r="C12" s="25" t="s">
        <v>29</v>
      </c>
      <c r="D12" s="25" t="s">
        <v>29</v>
      </c>
      <c r="E12" s="21" t="s">
        <v>39</v>
      </c>
      <c r="F12" s="24" t="str">
        <f>IFERROR(IF(OR(LEN(Marcos[[#This Row],[Data de início]])=0,LEN(Marcos[[#This Row],[Data de término]])=0),"",INT(C12)-INT($C$6)),"")</f>
        <v/>
      </c>
      <c r="G12" s="3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12" s="41"/>
      <c r="I12" s="41"/>
      <c r="J12" s="20"/>
    </row>
    <row r="13" spans="1:10" x14ac:dyDescent="0.2">
      <c r="B13" s="42" t="s">
        <v>42</v>
      </c>
      <c r="C13" s="42" t="s">
        <v>42</v>
      </c>
      <c r="D13" s="42" t="s">
        <v>42</v>
      </c>
      <c r="E13" s="42" t="s">
        <v>42</v>
      </c>
      <c r="F13" s="43" t="str">
        <f>IFERROR(IF(OR(LEN(Marcos[[#This Row],[Data de início]])=0,LEN(Marcos[[#This Row],[Data de término]])=0),"",INT(C13)-INT($C$6)),"")</f>
        <v/>
      </c>
      <c r="G13" s="44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13" s="42" t="s">
        <v>42</v>
      </c>
      <c r="I13" s="41"/>
      <c r="J13" s="20"/>
    </row>
    <row r="14" spans="1:10" x14ac:dyDescent="0.2">
      <c r="B14" s="22" t="s">
        <v>43</v>
      </c>
      <c r="C14" s="23"/>
      <c r="D14" s="23"/>
      <c r="E14" s="21" t="s">
        <v>57</v>
      </c>
      <c r="F14" s="24" t="str">
        <f>IFERROR(IF(OR(LEN(Marcos[[#This Row],[Data de início]])=0,LEN(Marcos[[#This Row],[Data de término]])=0),"",INT(C14)-INT($C$6)),"")</f>
        <v/>
      </c>
      <c r="G14" s="3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14" s="45">
        <v>45961</v>
      </c>
      <c r="I14" s="41"/>
      <c r="J14" s="20"/>
    </row>
    <row r="15" spans="1:10" x14ac:dyDescent="0.2">
      <c r="B15" s="22" t="s">
        <v>44</v>
      </c>
      <c r="C15" s="23"/>
      <c r="D15" s="23"/>
      <c r="E15" s="21" t="s">
        <v>57</v>
      </c>
      <c r="F15" s="24" t="str">
        <f>IFERROR(IF(OR(LEN(Marcos[[#This Row],[Data de início]])=0,LEN(Marcos[[#This Row],[Data de término]])=0),"",INT(C15)-INT($C$6)),"")</f>
        <v/>
      </c>
      <c r="G15" s="3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15" s="45">
        <v>45961</v>
      </c>
      <c r="I15" s="41"/>
      <c r="J15" s="20"/>
    </row>
    <row r="16" spans="1:10" x14ac:dyDescent="0.2">
      <c r="B16" s="22" t="s">
        <v>46</v>
      </c>
      <c r="C16" s="23"/>
      <c r="D16" s="23"/>
      <c r="E16" s="21" t="s">
        <v>57</v>
      </c>
      <c r="F16" s="24" t="str">
        <f>IFERROR(IF(OR(LEN(Marcos[[#This Row],[Data de início]])=0,LEN(Marcos[[#This Row],[Data de término]])=0),"",INT(C16)-INT($C$6)),"")</f>
        <v/>
      </c>
      <c r="G16" s="3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16" s="45">
        <v>45961</v>
      </c>
      <c r="I16" s="41"/>
      <c r="J16" s="20"/>
    </row>
    <row r="17" spans="2:10" x14ac:dyDescent="0.2">
      <c r="B17" s="22" t="s">
        <v>47</v>
      </c>
      <c r="C17" s="23"/>
      <c r="D17" s="23"/>
      <c r="E17" s="21" t="s">
        <v>57</v>
      </c>
      <c r="F17" s="24" t="str">
        <f>IFERROR(IF(OR(LEN(Marcos[[#This Row],[Data de início]])=0,LEN(Marcos[[#This Row],[Data de término]])=0),"",INT(C17)-INT($C$6)),"")</f>
        <v/>
      </c>
      <c r="G17" s="3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17" s="45">
        <v>45961</v>
      </c>
      <c r="I17" s="41"/>
      <c r="J17" s="20"/>
    </row>
    <row r="18" spans="2:10" x14ac:dyDescent="0.2">
      <c r="B18" s="22" t="s">
        <v>48</v>
      </c>
      <c r="C18" s="34"/>
      <c r="D18" s="34"/>
      <c r="E18" s="21" t="s">
        <v>58</v>
      </c>
      <c r="F18" s="24" t="str">
        <f>IFERROR(IF(OR(LEN(Marcos[[#This Row],[Data de início]])=0,LEN(Marcos[[#This Row],[Data de término]])=0),"",INT(C18)-INT($C$6)),"")</f>
        <v/>
      </c>
      <c r="G18" s="3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18" s="41"/>
      <c r="I18" s="41"/>
      <c r="J18" s="20"/>
    </row>
    <row r="19" spans="2:10" x14ac:dyDescent="0.2">
      <c r="B19" s="22" t="s">
        <v>49</v>
      </c>
      <c r="C19" s="23"/>
      <c r="D19" s="23"/>
      <c r="E19" s="21" t="s">
        <v>32</v>
      </c>
      <c r="F19" s="33" t="str">
        <f>IFERROR(IF(OR(LEN(Marcos[[#This Row],[Data de início]])=0,LEN(Marcos[[#This Row],[Data de término]])=0),"",INT(C19)-INT($C$6)),"")</f>
        <v/>
      </c>
      <c r="G19" s="3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19" s="41"/>
      <c r="I19" s="41"/>
      <c r="J19" s="20"/>
    </row>
    <row r="20" spans="2:10" x14ac:dyDescent="0.2">
      <c r="B20" s="22" t="s">
        <v>61</v>
      </c>
      <c r="C20" s="38"/>
      <c r="D20" s="38"/>
      <c r="E20" s="21" t="s">
        <v>32</v>
      </c>
      <c r="F20" s="35" t="str">
        <f>IFERROR(IF(OR(LEN(Marcos[[#This Row],[Data de início]])=0,LEN(Marcos[[#This Row],[Data de término]])=0),"",INT(C20)-INT($C$6)),"")</f>
        <v/>
      </c>
      <c r="G20" s="40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20" s="41"/>
      <c r="I20" s="41"/>
      <c r="J20" s="20"/>
    </row>
    <row r="21" spans="2:10" x14ac:dyDescent="0.2">
      <c r="B21" s="22" t="s">
        <v>62</v>
      </c>
      <c r="C21" s="38"/>
      <c r="D21" s="38"/>
      <c r="E21" s="21" t="s">
        <v>32</v>
      </c>
      <c r="F21" s="35" t="str">
        <f>IFERROR(IF(OR(LEN(Marcos[[#This Row],[Data de início]])=0,LEN(Marcos[[#This Row],[Data de término]])=0),"",INT(C21)-INT($C$6)),"")</f>
        <v/>
      </c>
      <c r="G21" s="40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21" s="41"/>
      <c r="I21" s="41"/>
      <c r="J21" s="20"/>
    </row>
    <row r="22" spans="2:10" x14ac:dyDescent="0.2">
      <c r="B22" s="22" t="s">
        <v>63</v>
      </c>
      <c r="C22" s="38"/>
      <c r="D22" s="38"/>
      <c r="E22" s="21" t="s">
        <v>32</v>
      </c>
      <c r="F22" s="35" t="str">
        <f>IFERROR(IF(OR(LEN(Marcos[[#This Row],[Data de início]])=0,LEN(Marcos[[#This Row],[Data de término]])=0),"",INT(C22)-INT($C$6)),"")</f>
        <v/>
      </c>
      <c r="G22" s="40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22" s="41"/>
      <c r="I22" s="41"/>
      <c r="J22" s="20"/>
    </row>
    <row r="23" spans="2:10" x14ac:dyDescent="0.2">
      <c r="B23" s="22" t="s">
        <v>50</v>
      </c>
      <c r="C23" s="38"/>
      <c r="D23" s="38"/>
      <c r="E23" s="21" t="s">
        <v>60</v>
      </c>
      <c r="F23" s="35" t="str">
        <f>IFERROR(IF(OR(LEN(Marcos[[#This Row],[Data de início]])=0,LEN(Marcos[[#This Row],[Data de término]])=0),"",INT(C23)-INT($C$6)),"")</f>
        <v/>
      </c>
      <c r="G23" s="40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23" s="41"/>
      <c r="I23" s="41"/>
    </row>
    <row r="24" spans="2:10" x14ac:dyDescent="0.2">
      <c r="B24" s="22" t="s">
        <v>51</v>
      </c>
      <c r="C24" s="38"/>
      <c r="D24" s="38"/>
      <c r="E24" s="21" t="s">
        <v>33</v>
      </c>
      <c r="F24" s="35" t="str">
        <f>IFERROR(IF(OR(LEN(Marcos[[#This Row],[Data de início]])=0,LEN(Marcos[[#This Row],[Data de término]])=0),"",INT(C24)-INT($C$6)),"")</f>
        <v/>
      </c>
      <c r="G24" s="40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24" s="41"/>
      <c r="I24" s="41"/>
    </row>
    <row r="25" spans="2:10" x14ac:dyDescent="0.2">
      <c r="B25" s="22" t="s">
        <v>52</v>
      </c>
      <c r="C25" s="38"/>
      <c r="D25" s="38"/>
      <c r="E25" s="21" t="s">
        <v>32</v>
      </c>
      <c r="F25" s="35" t="str">
        <f>IFERROR(IF(OR(LEN(Marcos[[#This Row],[Data de início]])=0,LEN(Marcos[[#This Row],[Data de término]])=0),"",INT(C25)-INT($C$6)),"")</f>
        <v/>
      </c>
      <c r="G25" s="40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25" s="41"/>
      <c r="I25" s="41"/>
    </row>
    <row r="26" spans="2:10" x14ac:dyDescent="0.2">
      <c r="B26" s="22" t="s">
        <v>53</v>
      </c>
      <c r="C26" s="38"/>
      <c r="D26" s="38"/>
      <c r="E26" s="21" t="s">
        <v>58</v>
      </c>
      <c r="F26" s="35" t="str">
        <f>IFERROR(IF(OR(LEN(Marcos[[#This Row],[Data de início]])=0,LEN(Marcos[[#This Row],[Data de término]])=0),"",INT(C26)-INT($C$6)),"")</f>
        <v/>
      </c>
      <c r="G26" s="40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26" s="41"/>
      <c r="I26" s="41"/>
    </row>
    <row r="27" spans="2:10" x14ac:dyDescent="0.2">
      <c r="B27" s="37" t="s">
        <v>54</v>
      </c>
      <c r="C27" s="38"/>
      <c r="D27" s="38"/>
      <c r="E27" s="21" t="s">
        <v>60</v>
      </c>
      <c r="F27" s="35" t="str">
        <f>IFERROR(IF(OR(LEN(Marcos[[#This Row],[Data de início]])=0,LEN(Marcos[[#This Row],[Data de término]])=0),"",INT(C27)-INT($C$6)),"")</f>
        <v/>
      </c>
      <c r="G27" s="40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27" s="41"/>
      <c r="I27" s="41"/>
    </row>
    <row r="28" spans="2:10" x14ac:dyDescent="0.2">
      <c r="B28" s="37" t="s">
        <v>55</v>
      </c>
      <c r="C28" s="38"/>
      <c r="D28" s="38"/>
      <c r="E28" s="41" t="s">
        <v>57</v>
      </c>
      <c r="F28" s="35" t="str">
        <f>IFERROR(IF(OR(LEN(Marcos[[#This Row],[Data de início]])=0,LEN(Marcos[[#This Row],[Data de término]])=0),"",INT(C28)-INT($C$6)),"")</f>
        <v/>
      </c>
      <c r="G28" s="40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28" s="41"/>
      <c r="I28" s="41"/>
    </row>
    <row r="29" spans="2:10" x14ac:dyDescent="0.2">
      <c r="B29" s="37" t="s">
        <v>56</v>
      </c>
      <c r="C29" s="38"/>
      <c r="D29" s="38"/>
      <c r="E29" s="41" t="s">
        <v>59</v>
      </c>
      <c r="F29" s="35" t="str">
        <f>IFERROR(IF(OR(LEN(Marcos[[#This Row],[Data de início]])=0,LEN(Marcos[[#This Row],[Data de término]])=0),"",INT(C29)-INT($C$6)),"")</f>
        <v/>
      </c>
      <c r="G29" s="40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29" s="41"/>
      <c r="I29" s="41"/>
    </row>
    <row r="30" spans="2:10" x14ac:dyDescent="0.2">
      <c r="B30" s="47" t="s">
        <v>34</v>
      </c>
      <c r="C30" s="48"/>
      <c r="D30" s="48"/>
      <c r="E30" s="49" t="str">
        <f>"Atividade"&amp;" "&amp;ROW($A25)</f>
        <v>Atividade 25</v>
      </c>
      <c r="F30" s="50" t="str">
        <f>IFERROR(IF(OR(LEN(Marcos[[#This Row],[Data de início]])=0,LEN(Marcos[[#This Row],[Data de término]])=0),"",INT(C30)-INT($C$6)),"")</f>
        <v/>
      </c>
      <c r="G30" s="5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30" s="49"/>
      <c r="I30" s="49"/>
    </row>
    <row r="31" spans="2:10" x14ac:dyDescent="0.2">
      <c r="B31" s="47" t="s">
        <v>37</v>
      </c>
      <c r="C31" s="48"/>
      <c r="D31" s="48"/>
      <c r="E31" s="49" t="str">
        <f>"Atividade"&amp;" "&amp;ROW($A26)</f>
        <v>Atividade 26</v>
      </c>
      <c r="F31" s="50" t="str">
        <f>IFERROR(IF(OR(LEN(Marcos[[#This Row],[Data de início]])=0,LEN(Marcos[[#This Row],[Data de término]])=0),"",INT(C31)-INT($C$6)),"")</f>
        <v/>
      </c>
      <c r="G31" s="51" t="str">
        <f>IFERROR(IF(Marcos[[#This Row],[Iniciar no dia]]=0,DATEDIF(Marcos[[#This Row],[Data de início]],Marcos[[#This Row],[Data de término]],"d")+1,IF(LEN(Marcos[[#This Row],[Iniciar no dia]])=0,"",DATEDIF(Marcos[[#This Row],[Data de início]],Marcos[[#This Row],[Data de término]],"d")+1)),0)</f>
        <v/>
      </c>
      <c r="H31" s="49"/>
      <c r="I31" s="49"/>
    </row>
  </sheetData>
  <printOptions horizontalCentered="1"/>
  <pageMargins left="0.7" right="0.7" top="0.75" bottom="0.75" header="0.3" footer="0.3"/>
  <pageSetup paperSize="9" fitToHeight="0" orientation="portrait" horizontalDpi="1200" verticalDpi="1200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B18C-4FEB-4EDB-9966-5EEBD744C25D}">
  <sheetPr>
    <pageSetUpPr fitToPage="1"/>
  </sheetPr>
  <dimension ref="A1:A3"/>
  <sheetViews>
    <sheetView showGridLines="0" workbookViewId="0">
      <selection activeCell="Q21" sqref="Q21"/>
    </sheetView>
  </sheetViews>
  <sheetFormatPr defaultRowHeight="15" x14ac:dyDescent="0.2"/>
  <cols>
    <col min="1" max="1" width="2.5546875" customWidth="1"/>
  </cols>
  <sheetData>
    <row r="1" spans="1:1" ht="14.45" customHeight="1" x14ac:dyDescent="0.2">
      <c r="A1" s="16" t="s">
        <v>23</v>
      </c>
    </row>
    <row r="2" spans="1:1" ht="14.45" customHeight="1" x14ac:dyDescent="0.2"/>
    <row r="3" spans="1:1" ht="14.45" customHeight="1" x14ac:dyDescent="0.2"/>
  </sheetData>
  <printOptions horizontalCentered="1"/>
  <pageMargins left="0.25" right="0.25" top="0.75" bottom="0.75" header="0.3" footer="0.3"/>
  <pageSetup paperSize="9" orientation="landscape" horizontalDpi="1200" verticalDpi="1200" r:id="rId1"/>
  <headerFooter differentFirst="1">
    <oddFooter>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Barra de Rolagem 2">
              <controlPr defaultSize="0" autoPict="0" altText="Scrollbar to increment Gantt Chart and scroll through the timeline">
                <anchor>
                  <from>
                    <xdr:col>0</xdr:col>
                    <xdr:colOff>171450</xdr:colOff>
                    <xdr:row>28</xdr:row>
                    <xdr:rowOff>28575</xdr:rowOff>
                  </from>
                  <to>
                    <xdr:col>13</xdr:col>
                    <xdr:colOff>438150</xdr:colOff>
                    <xdr:row>29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85FE-4B35-4282-8D21-8466FF120F07}">
  <sheetPr>
    <pageSetUpPr fitToPage="1"/>
  </sheetPr>
  <dimension ref="A1:F10"/>
  <sheetViews>
    <sheetView showGridLines="0" workbookViewId="0"/>
  </sheetViews>
  <sheetFormatPr defaultRowHeight="15" x14ac:dyDescent="0.2"/>
  <cols>
    <col min="1" max="1" width="2.5546875" style="15" customWidth="1"/>
    <col min="2" max="2" width="20.58203125" customWidth="1"/>
    <col min="3" max="3" width="15.73828125" customWidth="1"/>
    <col min="4" max="4" width="23.13671875" style="4" customWidth="1"/>
    <col min="5" max="5" width="15.73828125" style="4" customWidth="1"/>
  </cols>
  <sheetData>
    <row r="1" spans="1:6" ht="50.1" customHeight="1" x14ac:dyDescent="0.2">
      <c r="A1" s="15" t="s">
        <v>11</v>
      </c>
      <c r="B1" s="1" t="s">
        <v>16</v>
      </c>
    </row>
    <row r="2" spans="1:6" x14ac:dyDescent="0.2">
      <c r="A2" s="15" t="s">
        <v>12</v>
      </c>
      <c r="B2" t="s">
        <v>17</v>
      </c>
    </row>
    <row r="3" spans="1:6" x14ac:dyDescent="0.2">
      <c r="A3" s="15" t="s">
        <v>13</v>
      </c>
      <c r="B3">
        <v>0</v>
      </c>
    </row>
    <row r="4" spans="1:6" x14ac:dyDescent="0.2">
      <c r="A4" s="15" t="s">
        <v>14</v>
      </c>
      <c r="B4" t="s">
        <v>18</v>
      </c>
    </row>
    <row r="5" spans="1:6" ht="15.75" thickBot="1" x14ac:dyDescent="0.25">
      <c r="A5" s="15" t="s">
        <v>15</v>
      </c>
      <c r="B5" s="3" t="s">
        <v>19</v>
      </c>
      <c r="C5" s="3" t="s">
        <v>20</v>
      </c>
      <c r="D5" s="3" t="s">
        <v>9</v>
      </c>
      <c r="E5" s="3" t="s">
        <v>21</v>
      </c>
      <c r="F5" t="s">
        <v>22</v>
      </c>
    </row>
    <row r="6" spans="1:6" x14ac:dyDescent="0.2">
      <c r="B6" s="8" t="str">
        <f ca="1">IFERROR(IF(LEN(OFFSET('Controlador de projetos'!$E6,$B$3,0,1,1))=0,"",INDEX(Marcos[],'Controlador de projetos'!$B6+$B$3,4)),"")</f>
        <v/>
      </c>
      <c r="C6" s="9" t="str">
        <f ca="1">IFERROR(IF(LEN(OFFSET('Controlador de projetos'!$C6,$B$3,0,1,1))=0,End_Date,INDEX(Marcos[],'Controlador de projetos'!$B6+$B$3,2)),"")</f>
        <v/>
      </c>
      <c r="D6" s="10" t="str">
        <f ca="1">IFERROR(IF(LEN(OFFSET('Controlador de projetos'!$F6,$B$3,0,1,1))=0,"",INDEX(Marcos[],'Controlador de projetos'!$B6+$B$3,5)),"")</f>
        <v/>
      </c>
      <c r="E6" s="11" t="str">
        <f ca="1">IFERROR(IF(LEN(OFFSET('Controlador de projetos'!$G6,$B$3,0,1,1))=0,"",INDEX(Marcos[],'Controlador de projetos'!$B6+$B$3,6)),"")</f>
        <v/>
      </c>
    </row>
    <row r="7" spans="1:6" x14ac:dyDescent="0.2">
      <c r="B7" s="12" t="str">
        <f ca="1">IFERROR(IF(LEN(OFFSET('Controlador de projetos'!$E7,$B$3,0,1,1))=0,"",INDEX(Marcos[],'Controlador de projetos'!$B7+$B$3,4)),"")</f>
        <v/>
      </c>
      <c r="C7" s="6" t="str">
        <f ca="1">IFERROR(IF(LEN(OFFSET('Controlador de projetos'!$C7,$B$3,0,1,1))=0,End_Date,INDEX(Marcos[],'Controlador de projetos'!$B7+$B$3,2)),"")</f>
        <v/>
      </c>
      <c r="D7" s="7" t="str">
        <f ca="1">IFERROR(IF(LEN(OFFSET('Controlador de projetos'!$F7,$B$3,0,1,1))=0,"",INDEX(Marcos[],'Controlador de projetos'!$B7+$B$3,5)),"")</f>
        <v/>
      </c>
      <c r="E7" s="13" t="str">
        <f ca="1">IFERROR(IF(LEN(OFFSET('Controlador de projetos'!$G7,$B$3,0,1,1))=0,"",INDEX(Marcos[],'Controlador de projetos'!$B7+$B$3,6)),"")</f>
        <v/>
      </c>
    </row>
    <row r="8" spans="1:6" x14ac:dyDescent="0.2">
      <c r="B8" s="12" t="str">
        <f ca="1">IFERROR(IF(LEN(OFFSET('Controlador de projetos'!$E8,$B$3,0,1,1))=0,"",INDEX(Marcos[],'Controlador de projetos'!$B8+$B$3,4)),"")</f>
        <v/>
      </c>
      <c r="C8" s="6" t="str">
        <f ca="1">IFERROR(IF(LEN(OFFSET('Controlador de projetos'!$C8,$B$3,0,1,1))=0,End_Date,INDEX(Marcos[],'Controlador de projetos'!$B8+$B$3,2)),"")</f>
        <v/>
      </c>
      <c r="D8" s="7" t="str">
        <f ca="1">IFERROR(IF(LEN(OFFSET('Controlador de projetos'!$F8,$B$3,0,1,1))=0,"",INDEX(Marcos[],'Controlador de projetos'!$B8+$B$3,5)),"")</f>
        <v/>
      </c>
      <c r="E8" s="13" t="str">
        <f ca="1">IFERROR(IF(LEN(OFFSET('Controlador de projetos'!$G8,$B$3,0,1,1))=0,"",INDEX(Marcos[],'Controlador de projetos'!$B8+$B$3,6)),"")</f>
        <v/>
      </c>
    </row>
    <row r="9" spans="1:6" s="5" customFormat="1" x14ac:dyDescent="0.2">
      <c r="A9" s="15"/>
      <c r="B9" s="12" t="str">
        <f ca="1">IFERROR(IF(LEN(OFFSET('Controlador de projetos'!$E9,$B$3,0,1,1))=0,"",INDEX(Marcos[],'Controlador de projetos'!$B9+$B$3,4)),"")</f>
        <v/>
      </c>
      <c r="C9" s="6" t="str">
        <f ca="1">IFERROR(IF(LEN(OFFSET('Controlador de projetos'!$C9,$B$3,0,1,1))=0,End_Date,INDEX(Marcos[],'Controlador de projetos'!$B9+$B$3,2)),"")</f>
        <v/>
      </c>
      <c r="D9" s="7" t="str">
        <f ca="1">IFERROR(IF(LEN(OFFSET('Controlador de projetos'!$F9,$B$3,0,1,1))=0,"",INDEX(Marcos[],'Controlador de projetos'!$B9+$B$3,5)),"")</f>
        <v/>
      </c>
      <c r="E9" s="13" t="str">
        <f ca="1">IFERROR(IF(LEN(OFFSET('Controlador de projetos'!$G9,$B$3,0,1,1))=0,"",INDEX(Marcos[],'Controlador de projetos'!$B9+$B$3,6)),"")</f>
        <v/>
      </c>
    </row>
    <row r="10" spans="1:6" s="5" customFormat="1" x14ac:dyDescent="0.2">
      <c r="A10" s="15"/>
      <c r="B10" s="12" t="str">
        <f ca="1">IFERROR(IF(LEN(OFFSET('Controlador de projetos'!#REF!,$B$3,0,1,1))=0,"",INDEX(Marcos[],'Controlador de projetos'!#REF!+$B$3,4)),"")</f>
        <v/>
      </c>
      <c r="C10" s="6" t="str">
        <f ca="1">IFERROR(IF(LEN(OFFSET('Controlador de projetos'!#REF!,$B$3,0,1,1))=0,End_Date,INDEX(Marcos[],'Controlador de projetos'!#REF!+$B$3,2)),"")</f>
        <v/>
      </c>
      <c r="D10" s="7" t="str">
        <f ca="1">IFERROR(IF(LEN(OFFSET('Controlador de projetos'!#REF!,$B$3,0,1,1))=0,"",INDEX(Marcos[],'Controlador de projetos'!#REF!+$B$3,5)),"")</f>
        <v/>
      </c>
      <c r="E10" s="13" t="str">
        <f ca="1">IFERROR(IF(LEN(OFFSET('Controlador de projetos'!#REF!,$B$3,0,1,1))=0,"",INDEX(Marcos[],'Controlador de projetos'!#REF!+$B$3,6)),"")</f>
        <v/>
      </c>
    </row>
  </sheetData>
  <printOptions horizontalCentered="1"/>
  <pageMargins left="0.7" right="0.7" top="0.75" bottom="0.75" header="0.3" footer="0.3"/>
  <pageSetup paperSize="9" scale="77" fitToHeight="0" orientation="portrait" horizontalDpi="1200" verticalDpi="120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Controlador de projetos</vt:lpstr>
      <vt:lpstr>Gráfico de Gantt</vt:lpstr>
      <vt:lpstr>Dados do gráf. dinâmico oculta</vt:lpstr>
      <vt:lpstr>Data_Final</vt:lpstr>
      <vt:lpstr>Data_Inicial</vt:lpstr>
      <vt:lpstr>Duração</vt:lpstr>
      <vt:lpstr>IncrementoDeRolagem</vt:lpstr>
      <vt:lpstr>IniciarNoDia</vt:lpstr>
      <vt:lpstr>Marco</vt:lpstr>
      <vt:lpstr>TabeladeDataInicial</vt:lpstr>
      <vt:lpstr>Controlador de projetos!Titulos_de_impressao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2018-08-16T08:01:29Z</dcterms:created>
  <dcterms:modified xsi:type="dcterms:W3CDTF">2025-10-25T01:35:31Z</dcterms:modified>
</cp:coreProperties>
</file>